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ko\Downloads\Telegram Desktop\"/>
    </mc:Choice>
  </mc:AlternateContent>
  <xr:revisionPtr revIDLastSave="0" documentId="13_ncr:1_{08368B8A-C5E5-486A-923D-6AD21084F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definedNames>
    <definedName name="coupon">Example!$B$3</definedName>
    <definedName name="h">Example!$B$10</definedName>
    <definedName name="lambda">Example!$B$18</definedName>
    <definedName name="period">Example!$B$7</definedName>
    <definedName name="recovery">Example!$B$9</definedName>
    <definedName name="riskless_r">Example!$B$16</definedName>
    <definedName name="riskless_y">Example!$B$4</definedName>
    <definedName name="risky_r">Example!$B$17</definedName>
    <definedName name="risky_y">Example!$B$5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17" i="1"/>
  <c r="B16" i="1"/>
  <c r="B18" i="1"/>
  <c r="R22" i="1" s="1"/>
  <c r="H19" i="1"/>
  <c r="E16" i="1"/>
  <c r="K16" i="1" l="1"/>
  <c r="J16" i="1"/>
  <c r="N16" i="1" s="1"/>
  <c r="R20" i="1"/>
  <c r="E17" i="1"/>
  <c r="J17" i="1" s="1"/>
  <c r="O16" i="1"/>
  <c r="F16" i="1"/>
  <c r="G16" i="1" s="1"/>
  <c r="I16" i="1" s="1"/>
  <c r="K17" i="1" l="1"/>
  <c r="E18" i="1"/>
  <c r="N17" i="1"/>
  <c r="F17" i="1"/>
  <c r="G17" i="1" s="1"/>
  <c r="I17" i="1" s="1"/>
  <c r="L17" i="1" s="1"/>
  <c r="O17" i="1"/>
  <c r="P17" i="1" s="1"/>
  <c r="R23" i="1"/>
  <c r="R16" i="1"/>
  <c r="P16" i="1"/>
  <c r="Q16" i="1" s="1"/>
  <c r="F18" i="1"/>
  <c r="G18" i="1" s="1"/>
  <c r="I18" i="1" s="1"/>
  <c r="L16" i="1"/>
  <c r="M16" i="1"/>
  <c r="O18" i="1" l="1"/>
  <c r="R18" i="1" s="1"/>
  <c r="J18" i="1"/>
  <c r="N18" i="1" s="1"/>
  <c r="K18" i="1"/>
  <c r="M18" i="1" s="1"/>
  <c r="E19" i="1"/>
  <c r="R24" i="1"/>
  <c r="R17" i="1"/>
  <c r="R25" i="1"/>
  <c r="M17" i="1"/>
  <c r="Q17" i="1"/>
  <c r="S17" i="1" s="1"/>
  <c r="P18" i="1"/>
  <c r="Q18" i="1" s="1"/>
  <c r="U16" i="1"/>
  <c r="S16" i="1"/>
  <c r="O19" i="1" l="1"/>
  <c r="R19" i="1" s="1"/>
  <c r="K19" i="1"/>
  <c r="J19" i="1"/>
  <c r="T17" i="1"/>
  <c r="L18" i="1"/>
  <c r="F19" i="1"/>
  <c r="G19" i="1" s="1"/>
  <c r="I19" i="1" s="1"/>
  <c r="N19" i="1"/>
  <c r="U17" i="1"/>
  <c r="T16" i="1"/>
  <c r="U18" i="1"/>
  <c r="P19" i="1" l="1"/>
  <c r="Q19" i="1" s="1"/>
  <c r="R26" i="1"/>
  <c r="M19" i="1"/>
  <c r="S18" i="1"/>
  <c r="T18" i="1" s="1"/>
  <c r="L19" i="1"/>
  <c r="L20" i="1" s="1"/>
  <c r="U19" i="1" l="1"/>
  <c r="U20" i="1" s="1"/>
  <c r="L23" i="1"/>
  <c r="M20" i="1"/>
  <c r="M23" i="1"/>
  <c r="S19" i="1"/>
  <c r="T19" i="1" s="1"/>
  <c r="T20" i="1" s="1"/>
  <c r="V20" i="1" l="1"/>
  <c r="S20" i="1"/>
  <c r="R7" i="1"/>
  <c r="B8" i="1" l="1"/>
  <c r="H6" i="1"/>
  <c r="E3" i="1"/>
  <c r="E4" i="1" s="1"/>
  <c r="E5" i="1" s="1"/>
  <c r="E6" i="1" s="1"/>
  <c r="F6" i="1" s="1"/>
  <c r="G6" i="1" s="1"/>
  <c r="I6" i="1" l="1"/>
  <c r="O6" i="1"/>
  <c r="O5" i="1"/>
  <c r="O4" i="1"/>
  <c r="O3" i="1"/>
  <c r="P7" i="1" s="1"/>
  <c r="K4" i="1"/>
  <c r="J3" i="1"/>
  <c r="N3" i="1" s="1"/>
  <c r="J4" i="1"/>
  <c r="N4" i="1" s="1"/>
  <c r="J5" i="1"/>
  <c r="N5" i="1" s="1"/>
  <c r="J6" i="1"/>
  <c r="K3" i="1"/>
  <c r="K5" i="1"/>
  <c r="F5" i="1"/>
  <c r="G5" i="1" s="1"/>
  <c r="I5" i="1" s="1"/>
  <c r="K6" i="1"/>
  <c r="F3" i="1"/>
  <c r="G3" i="1" s="1"/>
  <c r="I3" i="1" s="1"/>
  <c r="F4" i="1"/>
  <c r="G4" i="1" s="1"/>
  <c r="I4" i="1" s="1"/>
  <c r="M6" i="1" l="1"/>
  <c r="P4" i="1"/>
  <c r="P3" i="1"/>
  <c r="P5" i="1"/>
  <c r="P6" i="1"/>
  <c r="L6" i="1"/>
  <c r="N6" i="1"/>
  <c r="M4" i="1"/>
  <c r="L4" i="1"/>
  <c r="M3" i="1"/>
  <c r="M10" i="1" s="1"/>
  <c r="L3" i="1"/>
  <c r="L10" i="1" s="1"/>
  <c r="L5" i="1"/>
  <c r="M5" i="1"/>
  <c r="Q3" i="1" l="1"/>
  <c r="R3" i="1" s="1"/>
  <c r="Q6" i="1"/>
  <c r="U6" i="1" s="1"/>
  <c r="Q5" i="1"/>
  <c r="U5" i="1" s="1"/>
  <c r="Q4" i="1"/>
  <c r="S4" i="1" s="1"/>
  <c r="L7" i="1"/>
  <c r="M7" i="1"/>
  <c r="N23" i="1" l="1"/>
  <c r="S3" i="1"/>
  <c r="T3" i="1" s="1"/>
  <c r="U4" i="1"/>
  <c r="U3" i="1"/>
  <c r="R6" i="1"/>
  <c r="S6" i="1"/>
  <c r="T6" i="1" s="1"/>
  <c r="R5" i="1"/>
  <c r="S5" i="1"/>
  <c r="T5" i="1" s="1"/>
  <c r="T4" i="1"/>
  <c r="R4" i="1"/>
  <c r="N10" i="1"/>
  <c r="U7" i="1" l="1"/>
  <c r="T7" i="1"/>
  <c r="S7" i="1"/>
  <c r="V7" i="1" l="1"/>
</calcChain>
</file>

<file path=xl/sharedStrings.xml><?xml version="1.0" encoding="utf-8"?>
<sst xmlns="http://schemas.openxmlformats.org/spreadsheetml/2006/main" count="59" uniqueCount="38">
  <si>
    <t>Riskless Yield</t>
  </si>
  <si>
    <t>Risky Yield</t>
  </si>
  <si>
    <t>t</t>
  </si>
  <si>
    <t>Period</t>
  </si>
  <si>
    <t>Coupon Rate</t>
  </si>
  <si>
    <t>Notional</t>
  </si>
  <si>
    <t>Cpn Period</t>
  </si>
  <si>
    <t>Coupon</t>
  </si>
  <si>
    <t>Amortization</t>
  </si>
  <si>
    <t>CF</t>
  </si>
  <si>
    <t>Risky Disc. CF</t>
  </si>
  <si>
    <t>Riskless Disc. CF</t>
  </si>
  <si>
    <t>Risky DF</t>
  </si>
  <si>
    <t>Riskless DF</t>
  </si>
  <si>
    <t>Default Frequency</t>
  </si>
  <si>
    <t>Recovery</t>
  </si>
  <si>
    <t>Survival Probability</t>
  </si>
  <si>
    <t>Default Prob.</t>
  </si>
  <si>
    <t>EL(t;T) as of 0</t>
  </si>
  <si>
    <t>Recovery(t;T) at 0</t>
  </si>
  <si>
    <t>Risk adj. Payout</t>
  </si>
  <si>
    <t>Period Default</t>
  </si>
  <si>
    <t>Forward Default</t>
  </si>
  <si>
    <t>Goal seek this value to zero by changing h.</t>
  </si>
  <si>
    <t>Parameters</t>
  </si>
  <si>
    <t>EL</t>
  </si>
  <si>
    <t>λ, continuos hazard rate</t>
  </si>
  <si>
    <t>h, compounding hazard rate</t>
  </si>
  <si>
    <t>Riskless Bond</t>
  </si>
  <si>
    <t>Risky Bond</t>
  </si>
  <si>
    <t>Error</t>
  </si>
  <si>
    <t>Riskless Rate</t>
  </si>
  <si>
    <t>Risky Rate</t>
  </si>
  <si>
    <t>Equivalents</t>
  </si>
  <si>
    <t>&lt;- it's constant here which is not generally true</t>
  </si>
  <si>
    <t>h(t) depends on t and can be iteratively derived from</t>
  </si>
  <si>
    <t>bonds with different maturity of the same issuer</t>
  </si>
  <si>
    <t>Credit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</si>
</sst>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000%"/>
    <numFmt numFmtId="166" formatCode="0.00000%"/>
    <numFmt numFmtId="167" formatCode="0.000000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4" fillId="0" borderId="0" xfId="0" applyFont="1"/>
    <xf numFmtId="9" fontId="4" fillId="0" borderId="0" xfId="0" applyNumberFormat="1" applyFont="1"/>
    <xf numFmtId="0" fontId="4" fillId="0" borderId="0" xfId="0" applyNumberFormat="1" applyFont="1"/>
    <xf numFmtId="0" fontId="5" fillId="0" borderId="0" xfId="0" applyFont="1"/>
    <xf numFmtId="165" fontId="0" fillId="0" borderId="0" xfId="0" applyNumberFormat="1"/>
    <xf numFmtId="0" fontId="6" fillId="0" borderId="0" xfId="1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NumberFormat="1" applyFont="1"/>
    <xf numFmtId="165" fontId="2" fillId="0" borderId="0" xfId="0" applyNumberFormat="1" applyFont="1"/>
    <xf numFmtId="166" fontId="4" fillId="0" borderId="0" xfId="0" applyNumberFormat="1" applyFont="1"/>
    <xf numFmtId="167" fontId="0" fillId="0" borderId="0" xfId="0" applyNumberForma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showGridLines="0" tabSelected="1" workbookViewId="0">
      <selection activeCell="N10" sqref="N10"/>
    </sheetView>
  </sheetViews>
  <sheetFormatPr defaultRowHeight="14.4" x14ac:dyDescent="0.3"/>
  <cols>
    <col min="1" max="1" width="14.21875" customWidth="1"/>
    <col min="2" max="2" width="11.88671875" bestFit="1" customWidth="1"/>
    <col min="3" max="3" width="3.33203125" customWidth="1"/>
    <col min="4" max="4" width="7.88671875" bestFit="1" customWidth="1"/>
    <col min="5" max="5" width="3.88671875" bestFit="1" customWidth="1"/>
    <col min="6" max="6" width="9.88671875" bestFit="1" customWidth="1"/>
    <col min="7" max="7" width="7.33203125" bestFit="1" customWidth="1"/>
    <col min="8" max="8" width="9.33203125" bestFit="1" customWidth="1"/>
    <col min="9" max="9" width="4.88671875" bestFit="1" customWidth="1"/>
    <col min="10" max="11" width="11.88671875" bestFit="1" customWidth="1"/>
    <col min="12" max="12" width="13.88671875" bestFit="1" customWidth="1"/>
    <col min="13" max="13" width="11.77734375" bestFit="1" customWidth="1"/>
    <col min="14" max="14" width="12" customWidth="1"/>
    <col min="15" max="15" width="11.88671875" customWidth="1"/>
    <col min="16" max="18" width="9.5546875" customWidth="1"/>
    <col min="20" max="20" width="11.88671875" bestFit="1" customWidth="1"/>
    <col min="21" max="21" width="12.44140625" bestFit="1" customWidth="1"/>
    <col min="22" max="22" width="11.88671875" bestFit="1" customWidth="1"/>
  </cols>
  <sheetData>
    <row r="1" spans="1:22" s="2" customFormat="1" ht="28.8" x14ac:dyDescent="0.3">
      <c r="D1" s="2" t="s">
        <v>5</v>
      </c>
      <c r="E1" s="2" t="s">
        <v>2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13</v>
      </c>
      <c r="K1" s="2" t="s">
        <v>12</v>
      </c>
      <c r="L1" s="2" t="s">
        <v>11</v>
      </c>
      <c r="M1" s="2" t="s">
        <v>10</v>
      </c>
      <c r="N1" s="2" t="s">
        <v>19</v>
      </c>
      <c r="O1" s="2" t="s">
        <v>16</v>
      </c>
      <c r="P1" s="2" t="s">
        <v>17</v>
      </c>
      <c r="Q1" s="2" t="s">
        <v>21</v>
      </c>
      <c r="R1" s="2" t="s">
        <v>22</v>
      </c>
      <c r="S1" s="2" t="s">
        <v>20</v>
      </c>
      <c r="T1" s="2" t="s">
        <v>30</v>
      </c>
      <c r="U1" s="2" t="s">
        <v>25</v>
      </c>
    </row>
    <row r="2" spans="1:22" x14ac:dyDescent="0.3">
      <c r="B2" s="12" t="s">
        <v>24</v>
      </c>
      <c r="E2">
        <v>0</v>
      </c>
      <c r="O2">
        <v>1</v>
      </c>
      <c r="P2">
        <v>0</v>
      </c>
    </row>
    <row r="3" spans="1:22" x14ac:dyDescent="0.3">
      <c r="A3" t="s">
        <v>4</v>
      </c>
      <c r="B3" s="15">
        <v>0.06</v>
      </c>
      <c r="D3">
        <v>1000</v>
      </c>
      <c r="E3">
        <f>period</f>
        <v>0.5</v>
      </c>
      <c r="F3">
        <f>E3-E2</f>
        <v>0.5</v>
      </c>
      <c r="G3">
        <f>D3*F3*coupon</f>
        <v>30</v>
      </c>
      <c r="I3">
        <f>G3+H3</f>
        <v>30</v>
      </c>
      <c r="J3">
        <f>(1+riskless_y)^-E3</f>
        <v>0.97590007294853309</v>
      </c>
      <c r="K3">
        <f>(1+risky_y)^-E3</f>
        <v>0.93250480824031379</v>
      </c>
      <c r="L3">
        <f>I3*J3</f>
        <v>29.277002188455992</v>
      </c>
      <c r="M3">
        <f>I3*K3</f>
        <v>27.975144247209414</v>
      </c>
      <c r="N3">
        <f>D3*recovery*J3</f>
        <v>390.36002917941323</v>
      </c>
      <c r="O3">
        <f>(1-h)^E3</f>
        <v>0.92425166451251273</v>
      </c>
      <c r="P3">
        <f>1-O3</f>
        <v>7.5748335487487273E-2</v>
      </c>
      <c r="Q3">
        <f>P3-P2</f>
        <v>7.5748335487487273E-2</v>
      </c>
      <c r="R3">
        <f>Q3/O2</f>
        <v>7.5748335487487273E-2</v>
      </c>
      <c r="S3">
        <f>O3*L3+N3*Q3</f>
        <v>56.628440455804437</v>
      </c>
      <c r="T3">
        <f>S3-M3</f>
        <v>28.653296208595023</v>
      </c>
      <c r="U3">
        <f>I3*J3*P3-N3*Q3</f>
        <v>-27.351438267348449</v>
      </c>
    </row>
    <row r="4" spans="1:22" x14ac:dyDescent="0.3">
      <c r="A4" t="s">
        <v>0</v>
      </c>
      <c r="B4" s="15">
        <v>0.05</v>
      </c>
      <c r="D4">
        <v>1000</v>
      </c>
      <c r="E4">
        <f>E3+period</f>
        <v>1</v>
      </c>
      <c r="F4">
        <f t="shared" ref="F4:F6" si="0">E4-E3</f>
        <v>0.5</v>
      </c>
      <c r="G4">
        <f>D4*F4*coupon</f>
        <v>30</v>
      </c>
      <c r="I4">
        <f t="shared" ref="I4:I6" si="1">G4+H4</f>
        <v>30</v>
      </c>
      <c r="J4">
        <f>(1+riskless_y)^-E4</f>
        <v>0.95238095238095233</v>
      </c>
      <c r="K4">
        <f>(1+risky_y)^-E4</f>
        <v>0.86956521739130443</v>
      </c>
      <c r="L4">
        <f t="shared" ref="L4:L6" si="2">I4*J4</f>
        <v>28.571428571428569</v>
      </c>
      <c r="M4">
        <f t="shared" ref="M4:M6" si="3">I4*K4</f>
        <v>26.086956521739133</v>
      </c>
      <c r="N4">
        <f>D4*recovery*J4</f>
        <v>380.95238095238091</v>
      </c>
      <c r="O4">
        <f>(1-h)^E4</f>
        <v>0.85424113935415047</v>
      </c>
      <c r="P4">
        <f t="shared" ref="P4:P6" si="4">1-O4</f>
        <v>0.14575886064584953</v>
      </c>
      <c r="Q4">
        <f t="shared" ref="Q4:Q6" si="5">P4-P3</f>
        <v>7.0010525158362258E-2</v>
      </c>
      <c r="R4">
        <f t="shared" ref="R4:R6" si="6">Q4/O3</f>
        <v>7.5748335487487176E-2</v>
      </c>
      <c r="S4">
        <f t="shared" ref="S4:S6" si="7">O4*L4+N4*Q4</f>
        <v>51.077565946637534</v>
      </c>
      <c r="T4">
        <f>S4-M4</f>
        <v>24.990609424898402</v>
      </c>
      <c r="U4">
        <f t="shared" ref="U4:U6" si="8">I4*J4*P4-N4*Q4</f>
        <v>-22.506137375208969</v>
      </c>
    </row>
    <row r="5" spans="1:22" x14ac:dyDescent="0.3">
      <c r="A5" t="s">
        <v>1</v>
      </c>
      <c r="B5" s="15">
        <v>0.15</v>
      </c>
      <c r="D5">
        <v>1000</v>
      </c>
      <c r="E5">
        <f>E4+period</f>
        <v>1.5</v>
      </c>
      <c r="F5">
        <f t="shared" si="0"/>
        <v>0.5</v>
      </c>
      <c r="G5">
        <f>D5*F5*coupon</f>
        <v>30</v>
      </c>
      <c r="I5">
        <f t="shared" si="1"/>
        <v>30</v>
      </c>
      <c r="J5">
        <f>(1+riskless_y)^-E5</f>
        <v>0.92942864090336497</v>
      </c>
      <c r="K5">
        <f>(1+risky_y)^-E5</f>
        <v>0.81087374629592512</v>
      </c>
      <c r="L5">
        <f t="shared" si="2"/>
        <v>27.882859227100948</v>
      </c>
      <c r="M5">
        <f t="shared" si="3"/>
        <v>24.326212388877753</v>
      </c>
      <c r="N5">
        <f>D5*recovery*J5</f>
        <v>371.771456361346</v>
      </c>
      <c r="O5">
        <f>(1-h)^E5</f>
        <v>0.78953379494313891</v>
      </c>
      <c r="P5">
        <f t="shared" si="4"/>
        <v>0.21046620505686109</v>
      </c>
      <c r="Q5">
        <f t="shared" si="5"/>
        <v>6.4707344411011558E-2</v>
      </c>
      <c r="R5">
        <f t="shared" si="6"/>
        <v>7.5748335487487273E-2</v>
      </c>
      <c r="S5">
        <f t="shared" si="7"/>
        <v>46.0708033283953</v>
      </c>
      <c r="T5">
        <f>S5-M5</f>
        <v>21.744590939517547</v>
      </c>
      <c r="U5">
        <f t="shared" si="8"/>
        <v>-18.187944101294349</v>
      </c>
    </row>
    <row r="6" spans="1:22" x14ac:dyDescent="0.3">
      <c r="A6" t="s">
        <v>37</v>
      </c>
      <c r="B6" s="15">
        <f>risky_y-riskless_y</f>
        <v>9.9999999999999992E-2</v>
      </c>
      <c r="D6">
        <v>1000</v>
      </c>
      <c r="E6">
        <f>E5+period</f>
        <v>2</v>
      </c>
      <c r="F6">
        <f t="shared" si="0"/>
        <v>0.5</v>
      </c>
      <c r="G6">
        <f>D6*F6*coupon</f>
        <v>30</v>
      </c>
      <c r="H6">
        <f>D6</f>
        <v>1000</v>
      </c>
      <c r="I6">
        <f t="shared" si="1"/>
        <v>1030</v>
      </c>
      <c r="J6">
        <f>(1+riskless_y)^-E6</f>
        <v>0.90702947845804982</v>
      </c>
      <c r="K6">
        <f>(1+risky_y)^-E6</f>
        <v>0.7561436672967865</v>
      </c>
      <c r="L6">
        <f t="shared" si="2"/>
        <v>934.24036281179133</v>
      </c>
      <c r="M6">
        <f t="shared" si="3"/>
        <v>778.82797731569008</v>
      </c>
      <c r="N6">
        <f>D6*recovery*J6</f>
        <v>362.81179138321994</v>
      </c>
      <c r="O6">
        <f>(1-h)^E6</f>
        <v>0.72972792416507715</v>
      </c>
      <c r="P6">
        <f t="shared" si="4"/>
        <v>0.27027207583492285</v>
      </c>
      <c r="Q6">
        <f t="shared" si="5"/>
        <v>5.9805870778061765E-2</v>
      </c>
      <c r="R6">
        <f t="shared" si="6"/>
        <v>7.5748335487487148E-2</v>
      </c>
      <c r="S6">
        <f t="shared" si="7"/>
        <v>703.43955573809899</v>
      </c>
      <c r="T6">
        <f>S6-M6</f>
        <v>-75.388421577591089</v>
      </c>
      <c r="U6">
        <f t="shared" si="8"/>
        <v>230.80080707369237</v>
      </c>
    </row>
    <row r="7" spans="1:22" x14ac:dyDescent="0.3">
      <c r="A7" t="s">
        <v>3</v>
      </c>
      <c r="B7" s="4">
        <v>0.5</v>
      </c>
      <c r="L7" s="1">
        <f t="shared" ref="L7:M7" si="9">SUM(L3:L6)</f>
        <v>1019.9716527987769</v>
      </c>
      <c r="M7" s="1">
        <f t="shared" si="9"/>
        <v>857.21629047351644</v>
      </c>
      <c r="P7">
        <f>O3/O2</f>
        <v>0.92425166451251273</v>
      </c>
      <c r="R7" s="7">
        <f>1-(1-h)^period</f>
        <v>7.5748335487487273E-2</v>
      </c>
      <c r="S7" s="1">
        <f>SUM(S3:S6)</f>
        <v>857.21636546893626</v>
      </c>
      <c r="T7" s="9">
        <f>SUM(T3:T6)</f>
        <v>7.4995419879542169E-5</v>
      </c>
      <c r="U7" s="7">
        <f>SUM(U3:U6)</f>
        <v>162.7552873298406</v>
      </c>
      <c r="V7" s="10">
        <f>T7+U7</f>
        <v>162.75536232526048</v>
      </c>
    </row>
    <row r="8" spans="1:22" x14ac:dyDescent="0.3">
      <c r="A8" t="s">
        <v>14</v>
      </c>
      <c r="B8" s="4">
        <f>period</f>
        <v>0.5</v>
      </c>
      <c r="T8" s="3" t="s">
        <v>23</v>
      </c>
    </row>
    <row r="9" spans="1:22" ht="28.8" x14ac:dyDescent="0.3">
      <c r="A9" t="s">
        <v>15</v>
      </c>
      <c r="B9" s="5">
        <v>0.4</v>
      </c>
      <c r="C9" t="s">
        <v>34</v>
      </c>
      <c r="L9" s="2" t="s">
        <v>28</v>
      </c>
      <c r="M9" s="2" t="s">
        <v>29</v>
      </c>
      <c r="N9" s="2" t="s">
        <v>18</v>
      </c>
    </row>
    <row r="10" spans="1:22" x14ac:dyDescent="0.3">
      <c r="A10" t="s">
        <v>27</v>
      </c>
      <c r="B10" s="14">
        <v>0.1457588606458495</v>
      </c>
      <c r="C10" s="17" t="s">
        <v>35</v>
      </c>
      <c r="L10">
        <f>SUM(L3:L6)</f>
        <v>1019.9716527987769</v>
      </c>
      <c r="M10">
        <f>SUM(M3:M6)</f>
        <v>857.21629047351644</v>
      </c>
      <c r="N10">
        <f>L10-M10</f>
        <v>162.75536232526042</v>
      </c>
    </row>
    <row r="11" spans="1:22" x14ac:dyDescent="0.3">
      <c r="A11" s="4"/>
      <c r="B11" s="4"/>
      <c r="C11" t="s">
        <v>36</v>
      </c>
    </row>
    <row r="12" spans="1:22" x14ac:dyDescent="0.3">
      <c r="A12" s="5"/>
      <c r="B12" s="6"/>
    </row>
    <row r="13" spans="1:22" x14ac:dyDescent="0.3">
      <c r="A13" s="5"/>
      <c r="B13" s="6"/>
    </row>
    <row r="14" spans="1:22" ht="28.8" x14ac:dyDescent="0.3">
      <c r="D14" s="2" t="s">
        <v>5</v>
      </c>
      <c r="E14" s="2" t="s">
        <v>2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13</v>
      </c>
      <c r="K14" s="2" t="s">
        <v>12</v>
      </c>
      <c r="L14" s="2" t="s">
        <v>11</v>
      </c>
      <c r="M14" s="2" t="s">
        <v>10</v>
      </c>
      <c r="N14" s="2" t="s">
        <v>19</v>
      </c>
      <c r="O14" s="2" t="s">
        <v>16</v>
      </c>
      <c r="P14" s="2" t="s">
        <v>17</v>
      </c>
      <c r="Q14" s="2" t="s">
        <v>21</v>
      </c>
      <c r="R14" s="2" t="s">
        <v>22</v>
      </c>
      <c r="S14" s="2" t="s">
        <v>20</v>
      </c>
      <c r="T14" s="2" t="s">
        <v>30</v>
      </c>
      <c r="U14" s="2" t="s">
        <v>25</v>
      </c>
      <c r="V14" s="2"/>
    </row>
    <row r="15" spans="1:22" x14ac:dyDescent="0.3">
      <c r="B15" t="s">
        <v>33</v>
      </c>
      <c r="E15">
        <v>0</v>
      </c>
      <c r="O15">
        <v>1</v>
      </c>
      <c r="P15">
        <v>0</v>
      </c>
    </row>
    <row r="16" spans="1:22" x14ac:dyDescent="0.3">
      <c r="A16" t="s">
        <v>31</v>
      </c>
      <c r="B16" s="8">
        <f>LN(1+riskless_y)</f>
        <v>4.8790164169432049E-2</v>
      </c>
      <c r="D16">
        <v>1000</v>
      </c>
      <c r="E16">
        <f>period</f>
        <v>0.5</v>
      </c>
      <c r="F16">
        <f>E16-E15</f>
        <v>0.5</v>
      </c>
      <c r="G16">
        <f>D16*F16*coupon</f>
        <v>30</v>
      </c>
      <c r="I16">
        <f>G16+H16</f>
        <v>30</v>
      </c>
      <c r="J16">
        <f>EXP(-riskless_r*E16)</f>
        <v>0.9759000729485332</v>
      </c>
      <c r="K16">
        <f>EXP(-risky_r*E16)</f>
        <v>0.93250480824031379</v>
      </c>
      <c r="L16">
        <f>I16*J16</f>
        <v>29.277002188455995</v>
      </c>
      <c r="M16">
        <f>I16*K16</f>
        <v>27.975144247209414</v>
      </c>
      <c r="N16">
        <f>D16*recovery*J16</f>
        <v>390.36002917941329</v>
      </c>
      <c r="O16">
        <f>EXP(-lambda*E16)</f>
        <v>0.92425166451251273</v>
      </c>
      <c r="P16">
        <f>1-O16</f>
        <v>7.5748335487487273E-2</v>
      </c>
      <c r="Q16">
        <f>P16-P15</f>
        <v>7.5748335487487273E-2</v>
      </c>
      <c r="R16">
        <f>1-O16/O15</f>
        <v>7.5748335487487273E-2</v>
      </c>
      <c r="S16">
        <f>O16*L16+N16*Q16</f>
        <v>56.628440455804451</v>
      </c>
      <c r="T16">
        <f>S16-M16</f>
        <v>28.653296208595037</v>
      </c>
      <c r="U16">
        <f>I16*J16*P16-N16*Q16</f>
        <v>-27.351438267348453</v>
      </c>
    </row>
    <row r="17" spans="1:22" x14ac:dyDescent="0.3">
      <c r="A17" t="s">
        <v>32</v>
      </c>
      <c r="B17" s="8">
        <f>LN(1+risky_y)</f>
        <v>0.13976194237515863</v>
      </c>
      <c r="D17">
        <v>1000</v>
      </c>
      <c r="E17">
        <f>E16+period</f>
        <v>1</v>
      </c>
      <c r="F17">
        <f t="shared" ref="F17:F19" si="10">E17-E16</f>
        <v>0.5</v>
      </c>
      <c r="G17">
        <f>D17*F17*coupon</f>
        <v>30</v>
      </c>
      <c r="I17">
        <f t="shared" ref="I17:I19" si="11">G17+H17</f>
        <v>30</v>
      </c>
      <c r="J17">
        <f>EXP(-riskless_r*E17)</f>
        <v>0.95238095238095233</v>
      </c>
      <c r="K17">
        <f>EXP(-risky_r*E17)</f>
        <v>0.86956521739130443</v>
      </c>
      <c r="L17">
        <f t="shared" ref="L17:L19" si="12">I17*J17</f>
        <v>28.571428571428569</v>
      </c>
      <c r="M17">
        <f t="shared" ref="M17:M19" si="13">I17*K17</f>
        <v>26.086956521739133</v>
      </c>
      <c r="N17">
        <f>D17*recovery*J17</f>
        <v>380.95238095238091</v>
      </c>
      <c r="O17">
        <f>EXP(-lambda*E17)</f>
        <v>0.85424113935415047</v>
      </c>
      <c r="P17">
        <f t="shared" ref="P17:P19" si="14">1-O17</f>
        <v>0.14575886064584953</v>
      </c>
      <c r="Q17">
        <f t="shared" ref="Q17:Q19" si="15">P17-P16</f>
        <v>7.0010525158362258E-2</v>
      </c>
      <c r="R17">
        <f t="shared" ref="R17:R19" si="16">1-O17/O16</f>
        <v>7.5748335487487162E-2</v>
      </c>
      <c r="S17">
        <f t="shared" ref="S17:S19" si="17">O17*L17+N17*Q17</f>
        <v>51.077565946637534</v>
      </c>
      <c r="T17">
        <f>S17-M17</f>
        <v>24.990609424898402</v>
      </c>
      <c r="U17">
        <f t="shared" ref="U17:U19" si="18">I17*J17*P17-N17*Q17</f>
        <v>-22.506137375208969</v>
      </c>
    </row>
    <row r="18" spans="1:22" x14ac:dyDescent="0.3">
      <c r="A18" s="11" t="s">
        <v>26</v>
      </c>
      <c r="B18" s="8">
        <f>-LN(1-h)</f>
        <v>0.15754176046762908</v>
      </c>
      <c r="D18">
        <v>1000</v>
      </c>
      <c r="E18">
        <f>E17+period</f>
        <v>1.5</v>
      </c>
      <c r="F18">
        <f t="shared" si="10"/>
        <v>0.5</v>
      </c>
      <c r="G18">
        <f>D18*F18*coupon</f>
        <v>30</v>
      </c>
      <c r="I18">
        <f t="shared" si="11"/>
        <v>30</v>
      </c>
      <c r="J18">
        <f>EXP(-riskless_r*E18)</f>
        <v>0.92942864090336486</v>
      </c>
      <c r="K18">
        <f>EXP(-risky_r*E18)</f>
        <v>0.81087374629592512</v>
      </c>
      <c r="L18">
        <f t="shared" si="12"/>
        <v>27.882859227100944</v>
      </c>
      <c r="M18">
        <f t="shared" si="13"/>
        <v>24.326212388877753</v>
      </c>
      <c r="N18">
        <f>D18*recovery*J18</f>
        <v>371.77145636134594</v>
      </c>
      <c r="O18">
        <f>EXP(-lambda*E18)</f>
        <v>0.78953379494313891</v>
      </c>
      <c r="P18">
        <f t="shared" si="14"/>
        <v>0.21046620505686109</v>
      </c>
      <c r="Q18">
        <f t="shared" si="15"/>
        <v>6.4707344411011558E-2</v>
      </c>
      <c r="R18">
        <f t="shared" si="16"/>
        <v>7.5748335487487273E-2</v>
      </c>
      <c r="S18">
        <f t="shared" si="17"/>
        <v>46.070803328395293</v>
      </c>
      <c r="T18">
        <f>S18-M18</f>
        <v>21.74459093951754</v>
      </c>
      <c r="U18">
        <f t="shared" si="18"/>
        <v>-18.187944101294349</v>
      </c>
    </row>
    <row r="19" spans="1:22" x14ac:dyDescent="0.3">
      <c r="D19">
        <v>1000</v>
      </c>
      <c r="E19">
        <f>E18+period</f>
        <v>2</v>
      </c>
      <c r="F19">
        <f t="shared" si="10"/>
        <v>0.5</v>
      </c>
      <c r="G19">
        <f>D19*F19*coupon</f>
        <v>30</v>
      </c>
      <c r="H19">
        <f>D19</f>
        <v>1000</v>
      </c>
      <c r="I19">
        <f t="shared" si="11"/>
        <v>1030</v>
      </c>
      <c r="J19">
        <f>EXP(-riskless_r*E19)</f>
        <v>0.90702947845804982</v>
      </c>
      <c r="K19">
        <f>EXP(-risky_r*E19)</f>
        <v>0.7561436672967865</v>
      </c>
      <c r="L19">
        <f t="shared" si="12"/>
        <v>934.24036281179133</v>
      </c>
      <c r="M19">
        <f t="shared" si="13"/>
        <v>778.82797731569008</v>
      </c>
      <c r="N19">
        <f>D19*recovery*J19</f>
        <v>362.81179138321994</v>
      </c>
      <c r="O19">
        <f>EXP(-lambda*E19)</f>
        <v>0.72972792416507715</v>
      </c>
      <c r="P19">
        <f t="shared" si="14"/>
        <v>0.27027207583492285</v>
      </c>
      <c r="Q19">
        <f t="shared" si="15"/>
        <v>5.9805870778061765E-2</v>
      </c>
      <c r="R19">
        <f t="shared" si="16"/>
        <v>7.5748335487487162E-2</v>
      </c>
      <c r="S19">
        <f t="shared" si="17"/>
        <v>703.43955573809899</v>
      </c>
      <c r="T19">
        <f>S19-M19</f>
        <v>-75.388421577591089</v>
      </c>
      <c r="U19">
        <f t="shared" si="18"/>
        <v>230.80080707369237</v>
      </c>
    </row>
    <row r="20" spans="1:22" x14ac:dyDescent="0.3">
      <c r="L20" s="1">
        <f t="shared" ref="L20:M20" si="19">SUM(L16:L19)</f>
        <v>1019.9716527987769</v>
      </c>
      <c r="M20" s="1">
        <f t="shared" si="19"/>
        <v>857.21629047351644</v>
      </c>
      <c r="R20" s="7">
        <f>1-EXP(-lambda*period)</f>
        <v>7.5748335487487273E-2</v>
      </c>
      <c r="S20" s="1">
        <f>SUM(S16:S19)</f>
        <v>857.21636546893626</v>
      </c>
      <c r="T20" s="13">
        <f>SUM(T16:T19)</f>
        <v>7.4995419893753024E-5</v>
      </c>
      <c r="U20" s="7">
        <f>SUM(U16:U19)</f>
        <v>162.7552873298406</v>
      </c>
      <c r="V20" s="10">
        <f>T20+U20</f>
        <v>162.75536232526048</v>
      </c>
    </row>
    <row r="21" spans="1:22" x14ac:dyDescent="0.3">
      <c r="Q21" s="16"/>
      <c r="R21" s="7"/>
      <c r="T21" s="3"/>
    </row>
    <row r="22" spans="1:22" ht="28.8" x14ac:dyDescent="0.3">
      <c r="L22" s="2" t="s">
        <v>28</v>
      </c>
      <c r="M22" s="2" t="s">
        <v>29</v>
      </c>
      <c r="N22" s="2" t="s">
        <v>18</v>
      </c>
      <c r="Q22" s="16"/>
      <c r="R22" s="7">
        <f>lambda*period</f>
        <v>7.8770880233814539E-2</v>
      </c>
    </row>
    <row r="23" spans="1:22" x14ac:dyDescent="0.3">
      <c r="L23">
        <f>SUM(L16:L19)</f>
        <v>1019.9716527987769</v>
      </c>
      <c r="M23">
        <f>SUM(M16:M19)</f>
        <v>857.21629047351644</v>
      </c>
      <c r="N23">
        <f>L23-M23</f>
        <v>162.75536232526042</v>
      </c>
      <c r="R23" s="10">
        <f>LN(O15)-LN(O16)</f>
        <v>7.8770880233814594E-2</v>
      </c>
    </row>
    <row r="24" spans="1:22" x14ac:dyDescent="0.3">
      <c r="R24" s="10">
        <f>LN(O16)-LN(O17)</f>
        <v>7.8770880233814483E-2</v>
      </c>
    </row>
    <row r="25" spans="1:22" x14ac:dyDescent="0.3">
      <c r="R25" s="10">
        <f>LN(O17)-LN(O18)</f>
        <v>7.8770880233814594E-2</v>
      </c>
    </row>
    <row r="26" spans="1:22" x14ac:dyDescent="0.3">
      <c r="R26" s="10">
        <f>LN(O18)-LN(O19)</f>
        <v>7.8770880233814428E-2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Example</vt:lpstr>
      <vt:lpstr>coupon</vt:lpstr>
      <vt:lpstr>h</vt:lpstr>
      <vt:lpstr>lambda</vt:lpstr>
      <vt:lpstr>period</vt:lpstr>
      <vt:lpstr>recovery</vt:lpstr>
      <vt:lpstr>riskless_r</vt:lpstr>
      <vt:lpstr>riskless_y</vt:lpstr>
      <vt:lpstr>risky_r</vt:lpstr>
      <vt:lpstr>risky_y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Edgy</dc:creator>
  <cp:lastModifiedBy>Daniil Lenkov</cp:lastModifiedBy>
  <cp:lastPrinted>2025-11-03T15:55:39Z</cp:lastPrinted>
  <dcterms:created xsi:type="dcterms:W3CDTF">2020-06-08T15:59:33Z</dcterms:created>
  <dcterms:modified xsi:type="dcterms:W3CDTF">2025-11-03T15:59:36Z</dcterms:modified>
</cp:coreProperties>
</file>